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lyn\OneDrive\Desktop\Personel Projects\Shop Heater\"/>
    </mc:Choice>
  </mc:AlternateContent>
  <xr:revisionPtr revIDLastSave="0" documentId="13_ncr:1_{D299A2CA-0DF0-4BE0-872E-DE0F25F3DC3E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4" i="1"/>
  <c r="F25" i="1"/>
  <c r="F26" i="1"/>
  <c r="F27" i="1"/>
  <c r="F23" i="1"/>
  <c r="F21" i="1"/>
  <c r="F20" i="1"/>
  <c r="F4" i="1"/>
  <c r="F6" i="1"/>
  <c r="F3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F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Talyn Greenpro</author>
  </authors>
  <commentList>
    <comment ref="C2" authorId="0" shapeId="0" xr:uid="{35585E24-65F0-4320-B14E-B6205B7994F1}">
      <text>
        <r>
          <rPr>
            <sz val="9"/>
            <color indexed="81"/>
            <rFont val="Tahoma"/>
            <family val="2"/>
          </rPr>
          <t xml:space="preserve">Can also get other places like Walmart and Homedepot.
</t>
        </r>
      </text>
    </comment>
  </commentList>
</comments>
</file>

<file path=xl/sharedStrings.xml><?xml version="1.0" encoding="utf-8"?>
<sst xmlns="http://schemas.openxmlformats.org/spreadsheetml/2006/main" count="79" uniqueCount="60">
  <si>
    <t>Description</t>
  </si>
  <si>
    <t>Quantity</t>
  </si>
  <si>
    <t>Price</t>
  </si>
  <si>
    <t>Total</t>
  </si>
  <si>
    <t>Distributor/Link</t>
  </si>
  <si>
    <t>Part Number</t>
  </si>
  <si>
    <t>Dr.Heater</t>
  </si>
  <si>
    <t>DR-966</t>
  </si>
  <si>
    <t>Dr Infrared Heater DR-966</t>
  </si>
  <si>
    <t xml:space="preserve">Grand Total: </t>
  </si>
  <si>
    <t>Digikey</t>
  </si>
  <si>
    <t>Raspberry Pi Zero 2W</t>
  </si>
  <si>
    <t>120-240vac to 5vdc power supply</t>
  </si>
  <si>
    <t xml:space="preserve">	2648-SC0721-ND</t>
  </si>
  <si>
    <t>1866-4133-ND</t>
  </si>
  <si>
    <t>1528-1698-ND</t>
  </si>
  <si>
    <t>Raspberry Pi Heat Sink</t>
  </si>
  <si>
    <t>Raspberry Pi Zero Proto Bonnet Board</t>
  </si>
  <si>
    <t>1528-2041-ND</t>
  </si>
  <si>
    <t>1528-1592-ND</t>
  </si>
  <si>
    <t>Waterproof 1-Wire DS18B20 Digital temperature sensor</t>
  </si>
  <si>
    <t>Dual Channel 5vdc control 240vac 30 Amp Relay Board</t>
  </si>
  <si>
    <t>Amazon</t>
  </si>
  <si>
    <t>B07DSXWPC1</t>
  </si>
  <si>
    <t>McMaster-Carr</t>
  </si>
  <si>
    <t>92005A116</t>
  </si>
  <si>
    <t>92005A052</t>
  </si>
  <si>
    <t>Wago Wire Connector</t>
  </si>
  <si>
    <t>2946-221-613-ND</t>
  </si>
  <si>
    <t>Two Position Terminal Block</t>
  </si>
  <si>
    <t>Three Position Terminal Block</t>
  </si>
  <si>
    <t>277-1273-ND</t>
  </si>
  <si>
    <t>277-1274-ND</t>
  </si>
  <si>
    <t>B09WB1857W</t>
  </si>
  <si>
    <t>Samsung PRO Endurance 128GB MicroSD Card</t>
  </si>
  <si>
    <t>AWG 10 stranded 600v black wire 25ft</t>
  </si>
  <si>
    <t>AWG 10 stranded 600v green wire 25ft</t>
  </si>
  <si>
    <t>AWG 16 stranded 600v black wire 25ft</t>
  </si>
  <si>
    <t xml:space="preserve">AWG 16 stranded 600v green wire 25ft </t>
  </si>
  <si>
    <t>AWG 18 stranded 600v black wire 25ft</t>
  </si>
  <si>
    <t>AWG 18 stranded 600v red wire 25ft</t>
  </si>
  <si>
    <t>8054T29-9154T211</t>
  </si>
  <si>
    <t>8054T29-9154T233</t>
  </si>
  <si>
    <t>8054T26-8054T866</t>
  </si>
  <si>
    <t>8054T25-8054T805</t>
  </si>
  <si>
    <t>8054T25-8054T849</t>
  </si>
  <si>
    <t>AWG 18 stranded 600v yellow wire 25ft</t>
  </si>
  <si>
    <t>B0C56Y6D2W</t>
  </si>
  <si>
    <t>Spade Connector Kit 330pcs</t>
  </si>
  <si>
    <t>3D printed Heater Back Mount Plate</t>
  </si>
  <si>
    <t>3D printed temperature probe case</t>
  </si>
  <si>
    <t>Menards</t>
  </si>
  <si>
    <t>Probe case screws (#8 X 3/4-Inch Phillips Pan-Head screw)</t>
  </si>
  <si>
    <t>Back mount plate screws (#6 x 1/2-Inch Phillips Pan-Head screw)</t>
  </si>
  <si>
    <t>8054T26-8054T02</t>
  </si>
  <si>
    <t>8054T25-8054T861</t>
  </si>
  <si>
    <t>AWG 20 solid 300v yellow wire 25ft</t>
  </si>
  <si>
    <t>Raspberry Pi and Relay Board Phillips Screw (M3 x 0.5mm)</t>
  </si>
  <si>
    <t>Power Supply Phillips Screw (M3 x 6mm)</t>
  </si>
  <si>
    <t>8251T3-8251T621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</si>
</sst>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5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92005a116/" TargetMode="External"/><Relationship Id="rId13" Type="http://schemas.openxmlformats.org/officeDocument/2006/relationships/hyperlink" Target="https://www.amazon.com/SAMSUNG-Endurance-MicroSDXC-Adapter-security/dp/B09WB1857W/" TargetMode="External"/><Relationship Id="rId18" Type="http://schemas.openxmlformats.org/officeDocument/2006/relationships/hyperlink" Target="https://www.mcmaster.com/8054T25-8054T849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s://www.digikey.com/en/products/detail/mean-well-usa-inc/RS-15-5/7706168?s=N4IgTCBcDaIIwA4BsSC0AWOBmLqByAIiALoC%2BQA" TargetMode="External"/><Relationship Id="rId21" Type="http://schemas.openxmlformats.org/officeDocument/2006/relationships/hyperlink" Target="https://www.menards.com/main/hardware/fasteners-connectors/screws/sheet-metal-screws/grip-fast-reg-6-x-1-2-combo-drive-zinc-pan-head-sheet-metal-screw-19-count/2337250/p-9639598970040153-c-8936.htm" TargetMode="External"/><Relationship Id="rId7" Type="http://schemas.openxmlformats.org/officeDocument/2006/relationships/hyperlink" Target="https://www.amazon.com/dp/B07DSXWPC1" TargetMode="External"/><Relationship Id="rId12" Type="http://schemas.openxmlformats.org/officeDocument/2006/relationships/hyperlink" Target="https://www.digikey.com/en/products/detail/phoenix-contact/1725669/267463" TargetMode="External"/><Relationship Id="rId17" Type="http://schemas.openxmlformats.org/officeDocument/2006/relationships/hyperlink" Target="https://www.mcmaster.com/8054T25-8054T805/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www.digikey.com/en/products/detail/raspberry-pi/SC0721/24627135" TargetMode="External"/><Relationship Id="rId16" Type="http://schemas.openxmlformats.org/officeDocument/2006/relationships/hyperlink" Target="https://www.mcmaster.com/8054T26-8054T866/" TargetMode="External"/><Relationship Id="rId20" Type="http://schemas.openxmlformats.org/officeDocument/2006/relationships/hyperlink" Target="https://www.menards.com/main/hardware/fasteners-connectors/screws/sheet-metal-screws/midwest-fastener-reg-8-x-3-4-phillips-drive-white-pan-head-sheet-metal-screw-6-count/81618/p-1541140116010-c-8936.htm" TargetMode="External"/><Relationship Id="rId1" Type="http://schemas.openxmlformats.org/officeDocument/2006/relationships/hyperlink" Target="https://drheaterusa.com/products/dr966-240-volt-hardwired-shop-garage-commercial-heater-3000-watt-6000-watt" TargetMode="External"/><Relationship Id="rId6" Type="http://schemas.openxmlformats.org/officeDocument/2006/relationships/hyperlink" Target="https://www.digikey.com/en/products/detail/adafruit-industries-llc/381/5875807" TargetMode="External"/><Relationship Id="rId11" Type="http://schemas.openxmlformats.org/officeDocument/2006/relationships/hyperlink" Target="https://www.digikey.com/en/products/detail/phoenix-contact/1725656/267462" TargetMode="External"/><Relationship Id="rId24" Type="http://schemas.openxmlformats.org/officeDocument/2006/relationships/hyperlink" Target="https://www.mcmaster.com/8251T3-8251T621/" TargetMode="External"/><Relationship Id="rId5" Type="http://schemas.openxmlformats.org/officeDocument/2006/relationships/hyperlink" Target="https://www.digikey.com/en/products/detail/adafruit-industries-llc/3203/6827174" TargetMode="External"/><Relationship Id="rId15" Type="http://schemas.openxmlformats.org/officeDocument/2006/relationships/hyperlink" Target="https://www.mcmaster.com/8054T29-9154T233/" TargetMode="External"/><Relationship Id="rId23" Type="http://schemas.openxmlformats.org/officeDocument/2006/relationships/hyperlink" Target="https://www.mcmaster.com/8054T25-8054T861/" TargetMode="External"/><Relationship Id="rId10" Type="http://schemas.openxmlformats.org/officeDocument/2006/relationships/hyperlink" Target="https://www.digikey.com/en/products/detail/wago-corporation/221-613/13619780" TargetMode="External"/><Relationship Id="rId19" Type="http://schemas.openxmlformats.org/officeDocument/2006/relationships/hyperlink" Target="https://www.amazon.com/Feggizuli-Connectors-Connector-Terminals-Electrical/dp/B0C56Y6D2W/ref=sr_1_2_sspa" TargetMode="External"/><Relationship Id="rId4" Type="http://schemas.openxmlformats.org/officeDocument/2006/relationships/hyperlink" Target="https://www.digikey.com/en/products/detail/adafruit-industries-llc/3084/6058479" TargetMode="External"/><Relationship Id="rId9" Type="http://schemas.openxmlformats.org/officeDocument/2006/relationships/hyperlink" Target="https://www.mcmaster.com/92005A052/" TargetMode="External"/><Relationship Id="rId14" Type="http://schemas.openxmlformats.org/officeDocument/2006/relationships/hyperlink" Target="https://www.mcmaster.com/8054T29-9154T211/" TargetMode="External"/><Relationship Id="rId22" Type="http://schemas.openxmlformats.org/officeDocument/2006/relationships/hyperlink" Target="https://www.mcmaster.com/8054T26-8054T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27" zoomScaleNormal="160" workbookViewId="0">
      <selection activeCell="C27" sqref="C27"/>
    </sheetView>
  </sheetViews>
  <sheetFormatPr defaultRowHeight="14.5" x14ac:dyDescent="0.35"/>
  <cols>
    <col min="1" max="1" width="60.6328125" customWidth="1"/>
    <col min="2" max="2" width="20.6328125" customWidth="1"/>
    <col min="3" max="3" width="15.54296875" bestFit="1" customWidth="1"/>
  </cols>
  <sheetData>
    <row r="1" spans="1:6" ht="15.5" x14ac:dyDescent="0.35">
      <c r="A1" s="5" t="s">
        <v>0</v>
      </c>
      <c r="B1" s="5" t="s">
        <v>5</v>
      </c>
      <c r="C1" s="5" t="s">
        <v>4</v>
      </c>
      <c r="D1" s="5" t="s">
        <v>1</v>
      </c>
      <c r="E1" s="5" t="s">
        <v>2</v>
      </c>
      <c r="F1" s="5" t="s">
        <v>3</v>
      </c>
    </row>
    <row r="2" spans="1:6" x14ac:dyDescent="0.35">
      <c r="A2" s="1" t="s">
        <v>8</v>
      </c>
      <c r="B2" s="2" t="s">
        <v>7</v>
      </c>
      <c r="C2" s="4" t="s">
        <v>6</v>
      </c>
      <c r="D2" s="2">
        <v>1</v>
      </c>
      <c r="E2" s="3">
        <v>200</v>
      </c>
      <c r="F2" s="3">
        <f>D2*E2</f>
        <v>200</v>
      </c>
    </row>
    <row r="3" spans="1:6" x14ac:dyDescent="0.35">
      <c r="A3" s="1" t="s">
        <v>11</v>
      </c>
      <c r="B3" s="7" t="s">
        <v>13</v>
      </c>
      <c r="C3" s="4" t="s">
        <v>10</v>
      </c>
      <c r="D3" s="2">
        <v>1</v>
      </c>
      <c r="E3" s="3">
        <v>18</v>
      </c>
      <c r="F3" s="3">
        <f t="shared" ref="F3:F20" si="0">D3*E3</f>
        <v>18</v>
      </c>
    </row>
    <row r="4" spans="1:6" x14ac:dyDescent="0.35">
      <c r="A4" s="1" t="s">
        <v>34</v>
      </c>
      <c r="B4" s="7" t="s">
        <v>33</v>
      </c>
      <c r="C4" s="4" t="s">
        <v>22</v>
      </c>
      <c r="D4" s="2">
        <v>1</v>
      </c>
      <c r="E4" s="3">
        <v>22.99</v>
      </c>
      <c r="F4" s="3">
        <f t="shared" si="0"/>
        <v>22.99</v>
      </c>
    </row>
    <row r="5" spans="1:6" x14ac:dyDescent="0.35">
      <c r="A5" s="1" t="s">
        <v>16</v>
      </c>
      <c r="B5" s="2" t="s">
        <v>15</v>
      </c>
      <c r="C5" s="4" t="s">
        <v>10</v>
      </c>
      <c r="D5" s="2">
        <v>1</v>
      </c>
      <c r="E5" s="3">
        <v>0.95</v>
      </c>
      <c r="F5" s="3">
        <f t="shared" si="0"/>
        <v>0.95</v>
      </c>
    </row>
    <row r="6" spans="1:6" x14ac:dyDescent="0.35">
      <c r="A6" s="1" t="s">
        <v>17</v>
      </c>
      <c r="B6" s="2" t="s">
        <v>18</v>
      </c>
      <c r="C6" s="4" t="s">
        <v>10</v>
      </c>
      <c r="D6" s="2">
        <v>1</v>
      </c>
      <c r="E6" s="3">
        <v>4.5</v>
      </c>
      <c r="F6" s="3">
        <f t="shared" si="0"/>
        <v>4.5</v>
      </c>
    </row>
    <row r="7" spans="1:6" x14ac:dyDescent="0.35">
      <c r="A7" s="1" t="s">
        <v>20</v>
      </c>
      <c r="B7" s="2" t="s">
        <v>19</v>
      </c>
      <c r="C7" s="4" t="s">
        <v>10</v>
      </c>
      <c r="D7" s="2">
        <v>1</v>
      </c>
      <c r="E7" s="3">
        <v>9.9499999999999993</v>
      </c>
      <c r="F7" s="3">
        <f t="shared" si="0"/>
        <v>9.9499999999999993</v>
      </c>
    </row>
    <row r="8" spans="1:6" x14ac:dyDescent="0.35">
      <c r="A8" s="1" t="s">
        <v>29</v>
      </c>
      <c r="B8" s="2" t="s">
        <v>31</v>
      </c>
      <c r="C8" s="8" t="s">
        <v>10</v>
      </c>
      <c r="D8" s="2">
        <v>2</v>
      </c>
      <c r="E8" s="3">
        <v>1.93</v>
      </c>
      <c r="F8" s="3">
        <f t="shared" si="0"/>
        <v>3.86</v>
      </c>
    </row>
    <row r="9" spans="1:6" x14ac:dyDescent="0.35">
      <c r="A9" s="1" t="s">
        <v>30</v>
      </c>
      <c r="B9" s="2" t="s">
        <v>32</v>
      </c>
      <c r="C9" s="4" t="s">
        <v>10</v>
      </c>
      <c r="D9" s="2">
        <v>2</v>
      </c>
      <c r="E9" s="3">
        <v>2.77</v>
      </c>
      <c r="F9" s="3">
        <f t="shared" si="0"/>
        <v>5.54</v>
      </c>
    </row>
    <row r="10" spans="1:6" x14ac:dyDescent="0.35">
      <c r="A10" s="1" t="s">
        <v>27</v>
      </c>
      <c r="B10" s="2" t="s">
        <v>28</v>
      </c>
      <c r="C10" s="4" t="s">
        <v>10</v>
      </c>
      <c r="D10" s="2">
        <v>3</v>
      </c>
      <c r="E10" s="3">
        <v>1.26</v>
      </c>
      <c r="F10" s="3">
        <f t="shared" si="0"/>
        <v>3.7800000000000002</v>
      </c>
    </row>
    <row r="11" spans="1:6" x14ac:dyDescent="0.35">
      <c r="A11" s="1" t="s">
        <v>12</v>
      </c>
      <c r="B11" s="2" t="s">
        <v>14</v>
      </c>
      <c r="C11" s="4" t="s">
        <v>10</v>
      </c>
      <c r="D11" s="2">
        <v>1</v>
      </c>
      <c r="E11" s="3">
        <v>8.6</v>
      </c>
      <c r="F11" s="3">
        <f t="shared" si="0"/>
        <v>8.6</v>
      </c>
    </row>
    <row r="12" spans="1:6" x14ac:dyDescent="0.35">
      <c r="A12" s="1" t="s">
        <v>21</v>
      </c>
      <c r="B12" s="2" t="s">
        <v>23</v>
      </c>
      <c r="C12" s="4" t="s">
        <v>22</v>
      </c>
      <c r="D12" s="2">
        <v>1</v>
      </c>
      <c r="E12" s="3">
        <v>10.99</v>
      </c>
      <c r="F12" s="3">
        <f t="shared" si="0"/>
        <v>10.99</v>
      </c>
    </row>
    <row r="13" spans="1:6" x14ac:dyDescent="0.35">
      <c r="A13" s="1" t="s">
        <v>58</v>
      </c>
      <c r="B13" s="2" t="s">
        <v>25</v>
      </c>
      <c r="C13" s="4" t="s">
        <v>24</v>
      </c>
      <c r="D13" s="2">
        <v>1</v>
      </c>
      <c r="E13" s="3">
        <v>4.4800000000000004</v>
      </c>
      <c r="F13" s="3">
        <f t="shared" si="0"/>
        <v>4.4800000000000004</v>
      </c>
    </row>
    <row r="14" spans="1:6" x14ac:dyDescent="0.35">
      <c r="A14" s="1" t="s">
        <v>57</v>
      </c>
      <c r="B14" s="2" t="s">
        <v>26</v>
      </c>
      <c r="C14" s="4" t="s">
        <v>24</v>
      </c>
      <c r="D14" s="2">
        <v>1</v>
      </c>
      <c r="E14" s="3">
        <v>6.87</v>
      </c>
      <c r="F14" s="3">
        <f t="shared" si="0"/>
        <v>6.87</v>
      </c>
    </row>
    <row r="15" spans="1:6" x14ac:dyDescent="0.35">
      <c r="A15" s="1" t="s">
        <v>35</v>
      </c>
      <c r="B15" s="2" t="s">
        <v>41</v>
      </c>
      <c r="C15" s="4" t="s">
        <v>24</v>
      </c>
      <c r="D15" s="2">
        <v>1</v>
      </c>
      <c r="E15" s="3">
        <v>36.340000000000003</v>
      </c>
      <c r="F15" s="3">
        <f t="shared" si="0"/>
        <v>36.340000000000003</v>
      </c>
    </row>
    <row r="16" spans="1:6" x14ac:dyDescent="0.35">
      <c r="A16" s="1" t="s">
        <v>36</v>
      </c>
      <c r="B16" s="2" t="s">
        <v>42</v>
      </c>
      <c r="C16" s="4" t="s">
        <v>24</v>
      </c>
      <c r="D16" s="2">
        <v>1</v>
      </c>
      <c r="E16" s="3">
        <v>36.340000000000003</v>
      </c>
      <c r="F16" s="3">
        <f t="shared" si="0"/>
        <v>36.340000000000003</v>
      </c>
    </row>
    <row r="17" spans="1:6" x14ac:dyDescent="0.35">
      <c r="A17" s="1" t="s">
        <v>37</v>
      </c>
      <c r="B17" s="2" t="s">
        <v>43</v>
      </c>
      <c r="C17" s="4" t="s">
        <v>24</v>
      </c>
      <c r="D17" s="2">
        <v>1</v>
      </c>
      <c r="E17" s="3">
        <v>9.3699999999999992</v>
      </c>
      <c r="F17" s="3">
        <f t="shared" si="0"/>
        <v>9.3699999999999992</v>
      </c>
    </row>
    <row r="18" spans="1:6" x14ac:dyDescent="0.35">
      <c r="A18" s="1" t="s">
        <v>38</v>
      </c>
      <c r="B18" s="2" t="s">
        <v>54</v>
      </c>
      <c r="C18" s="4" t="s">
        <v>24</v>
      </c>
      <c r="D18" s="2">
        <v>1</v>
      </c>
      <c r="E18" s="3">
        <v>9.3699999999999992</v>
      </c>
      <c r="F18" s="3">
        <f t="shared" si="0"/>
        <v>9.3699999999999992</v>
      </c>
    </row>
    <row r="19" spans="1:6" x14ac:dyDescent="0.35">
      <c r="A19" s="1" t="s">
        <v>39</v>
      </c>
      <c r="B19" s="2" t="s">
        <v>44</v>
      </c>
      <c r="C19" s="4" t="s">
        <v>24</v>
      </c>
      <c r="D19" s="2">
        <v>1</v>
      </c>
      <c r="E19" s="3">
        <v>6.48</v>
      </c>
      <c r="F19" s="3">
        <f t="shared" si="0"/>
        <v>6.48</v>
      </c>
    </row>
    <row r="20" spans="1:6" x14ac:dyDescent="0.35">
      <c r="A20" s="1" t="s">
        <v>40</v>
      </c>
      <c r="B20" s="2" t="s">
        <v>45</v>
      </c>
      <c r="C20" s="4" t="s">
        <v>24</v>
      </c>
      <c r="D20" s="2">
        <v>1</v>
      </c>
      <c r="E20" s="3">
        <v>6.48</v>
      </c>
      <c r="F20" s="3">
        <f t="shared" si="0"/>
        <v>6.48</v>
      </c>
    </row>
    <row r="21" spans="1:6" x14ac:dyDescent="0.35">
      <c r="A21" s="1" t="s">
        <v>46</v>
      </c>
      <c r="B21" s="2" t="s">
        <v>55</v>
      </c>
      <c r="C21" s="4" t="s">
        <v>24</v>
      </c>
      <c r="D21" s="2">
        <v>1</v>
      </c>
      <c r="E21" s="3">
        <v>6.48</v>
      </c>
      <c r="F21" s="3">
        <f>D21*E21</f>
        <v>6.48</v>
      </c>
    </row>
    <row r="22" spans="1:6" x14ac:dyDescent="0.35">
      <c r="A22" s="1" t="s">
        <v>56</v>
      </c>
      <c r="B22" s="2" t="s">
        <v>59</v>
      </c>
      <c r="C22" s="4" t="s">
        <v>24</v>
      </c>
      <c r="D22" s="2">
        <v>1</v>
      </c>
      <c r="E22" s="3">
        <v>5.28</v>
      </c>
      <c r="F22" s="3">
        <f>D22*E22</f>
        <v>5.28</v>
      </c>
    </row>
    <row r="23" spans="1:6" x14ac:dyDescent="0.35">
      <c r="A23" s="1" t="s">
        <v>48</v>
      </c>
      <c r="B23" s="2" t="s">
        <v>47</v>
      </c>
      <c r="C23" s="4" t="s">
        <v>22</v>
      </c>
      <c r="D23" s="2">
        <v>1</v>
      </c>
      <c r="E23" s="3">
        <v>9.39</v>
      </c>
      <c r="F23" s="3">
        <f>D23*E23</f>
        <v>9.39</v>
      </c>
    </row>
    <row r="24" spans="1:6" x14ac:dyDescent="0.35">
      <c r="A24" s="1" t="s">
        <v>49</v>
      </c>
      <c r="B24" s="2"/>
      <c r="C24" s="4"/>
      <c r="D24" s="2">
        <v>1</v>
      </c>
      <c r="E24" s="3"/>
      <c r="F24" s="3">
        <f t="shared" ref="F24:F27" si="1">D24*E24</f>
        <v>0</v>
      </c>
    </row>
    <row r="25" spans="1:6" x14ac:dyDescent="0.35">
      <c r="A25" s="1" t="s">
        <v>53</v>
      </c>
      <c r="B25" s="2">
        <v>2337250</v>
      </c>
      <c r="C25" s="4" t="s">
        <v>51</v>
      </c>
      <c r="D25" s="2">
        <v>1</v>
      </c>
      <c r="E25" s="3">
        <v>1.28</v>
      </c>
      <c r="F25" s="3">
        <f t="shared" si="1"/>
        <v>1.28</v>
      </c>
    </row>
    <row r="26" spans="1:6" x14ac:dyDescent="0.35">
      <c r="A26" s="1" t="s">
        <v>50</v>
      </c>
      <c r="B26" s="2"/>
      <c r="C26" s="4"/>
      <c r="D26" s="2">
        <v>1</v>
      </c>
      <c r="E26" s="3"/>
      <c r="F26" s="3">
        <f t="shared" si="1"/>
        <v>0</v>
      </c>
    </row>
    <row r="27" spans="1:6" x14ac:dyDescent="0.35">
      <c r="A27" s="1" t="s">
        <v>52</v>
      </c>
      <c r="B27" s="2">
        <v>2010225</v>
      </c>
      <c r="C27" s="4" t="s">
        <v>51</v>
      </c>
      <c r="D27" s="2">
        <v>1</v>
      </c>
      <c r="E27" s="3">
        <v>1.19</v>
      </c>
      <c r="F27" s="3">
        <f t="shared" si="1"/>
        <v>1.19</v>
      </c>
    </row>
    <row r="28" spans="1:6" x14ac:dyDescent="0.35">
      <c r="A28" s="9" t="s">
        <v>9</v>
      </c>
      <c r="B28" s="10"/>
      <c r="C28" s="10"/>
      <c r="D28" s="10"/>
      <c r="E28" s="10"/>
      <c r="F28" s="6">
        <f>SUM(F2:F23)</f>
        <v>426.04000000000008</v>
      </c>
    </row>
  </sheetData>
  <mergeCells count="1">
    <mergeCell ref="A28:E28"/>
  </mergeCells>
  <hyperlinks>
    <hyperlink ref="C2" r:id="rId1" xr:uid="{7E1BCDF3-976F-4AEC-B6D9-914AB11C8929}"/>
    <hyperlink ref="C3" r:id="rId2" xr:uid="{E9D06958-5AD5-46DF-B69C-3902CC72E8E2}"/>
    <hyperlink ref="C11" r:id="rId3" xr:uid="{D022BB45-F54B-4EE7-A5EF-F34DA750CE30}"/>
    <hyperlink ref="C5" r:id="rId4" xr:uid="{DC272C52-B2F4-42A2-A5F6-AD123CB15E40}"/>
    <hyperlink ref="C6" r:id="rId5" xr:uid="{80FBAC2B-CD83-4D3B-8BCB-0BFF059C9B09}"/>
    <hyperlink ref="C7" r:id="rId6" xr:uid="{A472254A-DB72-4F80-8E3F-549AE130CAFE}"/>
    <hyperlink ref="C12" r:id="rId7" xr:uid="{3A26B573-E34D-469A-A519-C54C4E3D42C0}"/>
    <hyperlink ref="C13" r:id="rId8" xr:uid="{669AE46F-78EB-41F5-A3DF-EAD27728EBA6}"/>
    <hyperlink ref="C14" r:id="rId9" xr:uid="{4E218C59-F2C4-4892-A27C-5AFA85EDCA52}"/>
    <hyperlink ref="C10" r:id="rId10" xr:uid="{733216EA-AAEC-4C8C-B3A9-ADA8A4D0B204}"/>
    <hyperlink ref="C8" r:id="rId11" xr:uid="{AF2110D2-291F-442A-A5E5-57541CFF8277}"/>
    <hyperlink ref="C9" r:id="rId12" xr:uid="{7A253563-3D9D-46CC-BC1C-DDD198212179}"/>
    <hyperlink ref="C4" r:id="rId13" xr:uid="{75515651-AB6C-4B0A-AF5B-7323FD66E4AB}"/>
    <hyperlink ref="C15" r:id="rId14" xr:uid="{9CEEADEB-655B-4EE8-8A65-4DEDCAEC4AAA}"/>
    <hyperlink ref="C16" r:id="rId15" xr:uid="{BE6FF4D7-E9DE-4C77-BEED-3EE4C1B0FD1E}"/>
    <hyperlink ref="C17" r:id="rId16" xr:uid="{54E91CA4-70D4-4C93-A3BC-A9525F2082F5}"/>
    <hyperlink ref="C19" r:id="rId17" xr:uid="{05371DE3-0E3D-4DFB-AB69-689437183BD1}"/>
    <hyperlink ref="C20" r:id="rId18" xr:uid="{CB12FF0B-0CD6-4EE9-BE97-CC2265FAA037}"/>
    <hyperlink ref="C23" r:id="rId19" xr:uid="{D38EB2FB-A4F6-4217-AC04-0696B84A21B7}"/>
    <hyperlink ref="C27" r:id="rId20" xr:uid="{552C1563-638D-45A1-AC3A-44E4E9AF22B2}"/>
    <hyperlink ref="C25" r:id="rId21" xr:uid="{F9C09103-24AD-4BE0-98BE-EAA8979D84BF}"/>
    <hyperlink ref="C18" r:id="rId22" xr:uid="{CC0E5CCB-470C-4C72-9CD7-8E315F077547}"/>
    <hyperlink ref="C21" r:id="rId23" xr:uid="{4243A696-8065-48E5-B878-C76DC0B860F0}"/>
    <hyperlink ref="C22" r:id="rId24" xr:uid="{0878A9C1-11D5-409A-88D6-D158C3330B29}"/>
  </hyperlinks>
  <pageMargins left="0.7" right="0.7" top="0.75" bottom="0.75" header="0.3" footer="0.3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Talyn Propst</dc:creator>
  <cp:lastModifiedBy>Talyn Propst</cp:lastModifiedBy>
  <dcterms:created xsi:type="dcterms:W3CDTF">2015-06-05T18:17:20Z</dcterms:created>
  <dcterms:modified xsi:type="dcterms:W3CDTF">2025-11-30T18:49:51Z</dcterms:modified>
</cp:coreProperties>
</file>